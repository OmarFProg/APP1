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MAR\PERS\DOCUMENTOS PERSONALES\"/>
    </mc:Choice>
  </mc:AlternateContent>
  <xr:revisionPtr revIDLastSave="0" documentId="13_ncr:1_{D311419C-CB5F-4DE7-92F6-DA0115A11CA0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CLAVES" sheetId="1" r:id="rId1"/>
    <sheet name="IIAD" sheetId="2" r:id="rId2"/>
    <sheet name="TRAB" sheetId="3" r:id="rId3"/>
    <sheet name="AMO" sheetId="4" r:id="rId4"/>
    <sheet name="VIAJ" sheetId="5" r:id="rId5"/>
    <sheet name="ART" sheetId="6" r:id="rId6"/>
    <sheet name="SDN" sheetId="7" r:id="rId7"/>
    <sheet name="PER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3" l="1"/>
</calcChain>
</file>

<file path=xl/sharedStrings.xml><?xml version="1.0" encoding="utf-8"?>
<sst xmlns="http://schemas.openxmlformats.org/spreadsheetml/2006/main" count="406" uniqueCount="311">
  <si>
    <t>OLX</t>
  </si>
  <si>
    <t>bkwybtzp</t>
  </si>
  <si>
    <t>PAGINA</t>
  </si>
  <si>
    <t>CLAVE</t>
  </si>
  <si>
    <t>mercado libre</t>
  </si>
  <si>
    <t>Usuario: DISA4103317</t>
  </si>
  <si>
    <t>Correo: sandinamita@gmail.com</t>
  </si>
  <si>
    <t>Clave: figo:DIAZ28</t>
  </si>
  <si>
    <t>Aplicación FIT</t>
  </si>
  <si>
    <t>C: OHMARFIGUEROA@HOTMAIL.COM</t>
  </si>
  <si>
    <t>C:Silvestre28d</t>
  </si>
  <si>
    <t>Hotmail.com</t>
  </si>
  <si>
    <t>C:ohmarfigueroa@hotmail.com</t>
  </si>
  <si>
    <t>ABC2021soft   fecha 11 SEP 2021</t>
  </si>
  <si>
    <t>Facebook.com</t>
  </si>
  <si>
    <t>Omar Figueroa</t>
  </si>
  <si>
    <t>COLIBRI33DIAZ</t>
  </si>
  <si>
    <t xml:space="preserve">INSTAGRAM </t>
  </si>
  <si>
    <t>IESS</t>
  </si>
  <si>
    <t>Silvestre33</t>
  </si>
  <si>
    <t>Red socio empleo</t>
  </si>
  <si>
    <t xml:space="preserve"> 38de100d</t>
  </si>
  <si>
    <t>figodesign.portfoliobox.net</t>
  </si>
  <si>
    <t>http://ac.bluekea.com</t>
  </si>
  <si>
    <t>dumypy</t>
  </si>
  <si>
    <t>RUAC</t>
  </si>
  <si>
    <t>silvestre28d</t>
  </si>
  <si>
    <t>Learngood.com</t>
  </si>
  <si>
    <t>NARCOSALA GMAIL</t>
  </si>
  <si>
    <t>Narcosala dropbox</t>
  </si>
  <si>
    <t>solotusabes2018</t>
  </si>
  <si>
    <t>EAES</t>
  </si>
  <si>
    <t>VALEN1119FIG</t>
  </si>
  <si>
    <t>CORREO MAMI</t>
  </si>
  <si>
    <t>Gcarmela_d_m@hotmail.com</t>
  </si>
  <si>
    <t>Contraseña: Gd1500156185</t>
  </si>
  <si>
    <t xml:space="preserve">CUENTA EEASA la presidencial </t>
  </si>
  <si>
    <t>U: 1500156185</t>
  </si>
  <si>
    <t>ABCD2021soft*</t>
  </si>
  <si>
    <t xml:space="preserve">Casillero virtual IEPI </t>
  </si>
  <si>
    <t>U: 1803391968001</t>
  </si>
  <si>
    <t xml:space="preserve">C: osfd9385 </t>
  </si>
  <si>
    <t>código proceso iepi</t>
  </si>
  <si>
    <t>2018 - 52059</t>
  </si>
  <si>
    <t>clave rup mami</t>
  </si>
  <si>
    <t>Gerardina2020#</t>
  </si>
  <si>
    <t>código préstamo coop cámara de comercio</t>
  </si>
  <si>
    <t>Registro cnt online</t>
  </si>
  <si>
    <t>Registro cnt online casa presidencial 2 dic 2021</t>
  </si>
  <si>
    <t>SOFT2021abcd</t>
  </si>
  <si>
    <t>WIFI CASA DE CAMPO HUACHI GRANDE</t>
  </si>
  <si>
    <t>casadecampo0404</t>
  </si>
  <si>
    <t>CLAVE IESS MAMI</t>
  </si>
  <si>
    <t>WIFI LA PRESIDENCIAL</t>
  </si>
  <si>
    <t>FITEX21SEPred</t>
  </si>
  <si>
    <t>fi.studio.sources@gmail.com</t>
  </si>
  <si>
    <t>ABCDsoft2021</t>
  </si>
  <si>
    <t>UARTES</t>
  </si>
  <si>
    <t>UAartes2021</t>
  </si>
  <si>
    <t>colibri33DIAZ*</t>
  </si>
  <si>
    <t>ESPOCH CUENTA MICROSOFT OFFICE</t>
  </si>
  <si>
    <t>Bicliotecas espoch</t>
  </si>
  <si>
    <t>USUARIO Omar Figueroa</t>
  </si>
  <si>
    <t xml:space="preserve">CONTRASEÑA </t>
  </si>
  <si>
    <t>Clave zoom</t>
  </si>
  <si>
    <t>ColiBri2021</t>
  </si>
  <si>
    <t>Bibliotechnia</t>
  </si>
  <si>
    <t>omarfigueroaD</t>
  </si>
  <si>
    <t>ABCsoft2021</t>
  </si>
  <si>
    <t>Bandcamp</t>
  </si>
  <si>
    <t>omar_f_2021</t>
  </si>
  <si>
    <t>ohmarfigueroa@hotmail.com</t>
  </si>
  <si>
    <t>CURSOS UTPL</t>
  </si>
  <si>
    <t>C: COLIBRI33DIAZ</t>
  </si>
  <si>
    <t>Celltrack</t>
  </si>
  <si>
    <t>SILVESTRE33DIAZ</t>
  </si>
  <si>
    <t>MEGABUSSINES</t>
  </si>
  <si>
    <t>C: SOFTabcd2021</t>
  </si>
  <si>
    <t>C: CEVU3I2A</t>
  </si>
  <si>
    <t>CORREO omar.figueroa@espoch.edu.ec</t>
  </si>
  <si>
    <t>Cerco: 1111</t>
  </si>
  <si>
    <t>Alarma: 2000</t>
  </si>
  <si>
    <t>Tarjeta visa: 8752</t>
  </si>
  <si>
    <t>C: rZPoxd</t>
  </si>
  <si>
    <t>USUARIO: omar.figueroa@espoch.edu.ec</t>
  </si>
  <si>
    <t>CONTRASEÑA: abcdSOFT2021</t>
  </si>
  <si>
    <t xml:space="preserve">Cerco: </t>
  </si>
  <si>
    <t xml:space="preserve">Alarma: </t>
  </si>
  <si>
    <t xml:space="preserve">Tarjeta visa: </t>
  </si>
  <si>
    <t>SRI omar DIC 2021</t>
  </si>
  <si>
    <t>wix.com</t>
  </si>
  <si>
    <t>ABCD2022SOFT</t>
  </si>
  <si>
    <t>EEASA clave</t>
  </si>
  <si>
    <t>cuenta virtual CCCA</t>
  </si>
  <si>
    <t>USUARIO</t>
  </si>
  <si>
    <t>OmarSF</t>
  </si>
  <si>
    <t>CON:</t>
  </si>
  <si>
    <t>CODSEG:</t>
  </si>
  <si>
    <t>Silvestre.CCCA2022</t>
  </si>
  <si>
    <t>DI.FM</t>
  </si>
  <si>
    <t>OMAR F</t>
  </si>
  <si>
    <t>omarf.2022.DI</t>
  </si>
  <si>
    <t>PERRUSAL</t>
  </si>
  <si>
    <t>US</t>
  </si>
  <si>
    <t>omar.figueroa@espoch.edu.ec</t>
  </si>
  <si>
    <t>schoology.com</t>
  </si>
  <si>
    <t>soft2022ABC</t>
  </si>
  <si>
    <t>contraseña</t>
  </si>
  <si>
    <t>Visual Paradigm</t>
  </si>
  <si>
    <t>SOFT2022abcd</t>
  </si>
  <si>
    <t>Elsevier</t>
  </si>
  <si>
    <t>colibri2022COE</t>
  </si>
  <si>
    <t>mendeley</t>
  </si>
  <si>
    <t>AA00BA2YER</t>
  </si>
  <si>
    <t>cod postal presi</t>
  </si>
  <si>
    <t>APLICACIÓN VISA EEUU 2022</t>
  </si>
  <si>
    <t>VISAEEUU2022OF</t>
  </si>
  <si>
    <t>https://ais.usvisa-info.com/es-ec/niv/signup</t>
  </si>
  <si>
    <t>VISAUSA2022OFD</t>
  </si>
  <si>
    <t>NUMERO DE USUARIO</t>
  </si>
  <si>
    <t>SISTEMA DE CITAS VISA EEUU</t>
  </si>
  <si>
    <t>sistema salarial MDT mami sep 2022</t>
  </si>
  <si>
    <t>SSM2</t>
  </si>
  <si>
    <t>CODIGO ARTESANAL</t>
  </si>
  <si>
    <t>OPERARIOS Y APRENDICES</t>
  </si>
  <si>
    <t>cod aplicación visa</t>
  </si>
  <si>
    <t>app.myloft.xyz/</t>
  </si>
  <si>
    <t>omarfigueroaespoch2022</t>
  </si>
  <si>
    <t>USUARIO GEOGEBRA</t>
  </si>
  <si>
    <t>CUENTA VAL</t>
  </si>
  <si>
    <t>MOMIESS2022</t>
  </si>
  <si>
    <t>TUNCORE</t>
  </si>
  <si>
    <t>ohmarfigueroa@espoch.edu.ec</t>
  </si>
  <si>
    <t>NS23$IDI</t>
  </si>
  <si>
    <t>clave app deuna</t>
  </si>
  <si>
    <t>clave tarjBcoPch</t>
  </si>
  <si>
    <t>TarjBcoPch</t>
  </si>
  <si>
    <t>US BcoPICH</t>
  </si>
  <si>
    <t>C:</t>
  </si>
  <si>
    <t>SPOTY ARTISTA</t>
  </si>
  <si>
    <t>CORREO</t>
  </si>
  <si>
    <t>narcosala.banda@gmail.com</t>
  </si>
  <si>
    <t>c:</t>
  </si>
  <si>
    <t>SoftDesign2023</t>
  </si>
  <si>
    <t>cuenta pch</t>
  </si>
  <si>
    <t>IEEE</t>
  </si>
  <si>
    <t>C=softDesign_23</t>
  </si>
  <si>
    <t>mi fruta favorita</t>
  </si>
  <si>
    <t>aguacate</t>
  </si>
  <si>
    <t>c</t>
  </si>
  <si>
    <t>SoftDesignDP23</t>
  </si>
  <si>
    <t>DEPAR RIO</t>
  </si>
  <si>
    <t>Pagalo.2021  RED 1ER PISO</t>
  </si>
  <si>
    <t>Pagalo.2022 RED 2DO PISO</t>
  </si>
  <si>
    <t>SoftDesign_23DP</t>
  </si>
  <si>
    <t>nip</t>
  </si>
  <si>
    <t xml:space="preserve">en asociacion con mi hermana y </t>
  </si>
  <si>
    <t>administro una propiedad rentera de departamentos</t>
  </si>
  <si>
    <t xml:space="preserve"> </t>
  </si>
  <si>
    <t xml:space="preserve"> EN QUE TRABAJAS</t>
  </si>
  <si>
    <t xml:space="preserve">A QUE TE DEDICAS </t>
  </si>
  <si>
    <t>ademas estoy cursando mi segunda ingeniera, es ingenierìa en software</t>
  </si>
  <si>
    <t>CUAL ES EL MOTIVO DE SU VIAJE</t>
  </si>
  <si>
    <t>visitar algun estado nuevo</t>
  </si>
  <si>
    <t>comprar tecnologia, para mi para mi trabajo para mi casa</t>
  </si>
  <si>
    <t xml:space="preserve">soy ingeniero en diseño industrial trabajo en una empresa de fabricacion de vestuario  </t>
  </si>
  <si>
    <t xml:space="preserve">en asociacion con mi hermana  </t>
  </si>
  <si>
    <t xml:space="preserve">VISITAR AMIGOS, </t>
  </si>
  <si>
    <t xml:space="preserve">soy ingeniero en diseño industrial soy propietario de una empresa de fabricacion de vestuario  </t>
  </si>
  <si>
    <t>INTERNET ESPOCH</t>
  </si>
  <si>
    <t>us</t>
  </si>
  <si>
    <t>omar.figueroa@espoch.edu.ed</t>
  </si>
  <si>
    <t>Postgres</t>
  </si>
  <si>
    <t>puerto postgress</t>
  </si>
  <si>
    <t>uivFSH</t>
  </si>
  <si>
    <t>SQL SERVER PS CPU 1</t>
  </si>
  <si>
    <t>CONTRASEÑA</t>
  </si>
  <si>
    <t>SoftDesigDP23</t>
  </si>
  <si>
    <t xml:space="preserve">cuenta </t>
  </si>
  <si>
    <t>sa</t>
  </si>
  <si>
    <t>ruc mami</t>
  </si>
  <si>
    <t>es igual 1500156185001</t>
  </si>
  <si>
    <t>clave firma electronica mami 20 jul 2023</t>
  </si>
  <si>
    <t>IESS 10 AGO 2023</t>
  </si>
  <si>
    <t xml:space="preserve"> SoftDesign23</t>
  </si>
  <si>
    <t>serato</t>
  </si>
  <si>
    <t>SoftDesign</t>
  </si>
  <si>
    <t>SoftDesignProject23</t>
  </si>
  <si>
    <t>US: omar.figueroa</t>
  </si>
  <si>
    <t>C: 1803391968</t>
  </si>
  <si>
    <t>Elibro</t>
  </si>
  <si>
    <t>C: SoftDesignProject</t>
  </si>
  <si>
    <t>VUFORIA</t>
  </si>
  <si>
    <t xml:space="preserve"> DISEÑO 3D Y RA</t>
  </si>
  <si>
    <t>US:</t>
  </si>
  <si>
    <t>SDP3DRA</t>
  </si>
  <si>
    <t>correo</t>
  </si>
  <si>
    <t>cuenta luz presidenciao</t>
  </si>
  <si>
    <t>lyssna</t>
  </si>
  <si>
    <t>app para preuebas de usabilidad</t>
  </si>
  <si>
    <t>correo registrado:</t>
  </si>
  <si>
    <t>IdeaApp24</t>
  </si>
  <si>
    <t>cnt codigo pagar internet</t>
  </si>
  <si>
    <t>Ruta generar comprobante de pago iess gestor cultural</t>
  </si>
  <si>
    <t>ingresar al sistema con CI y clave</t>
  </si>
  <si>
    <t>Trabajador y pagos</t>
  </si>
  <si>
    <t>Consulta Comrobantes -&gt; buscar-&gt;imprimir</t>
  </si>
  <si>
    <t>Iversity</t>
  </si>
  <si>
    <t>C: IdeAps24</t>
  </si>
  <si>
    <t>correo institucional</t>
  </si>
  <si>
    <t>fusion 360 CAD</t>
  </si>
  <si>
    <t>DEPPRESI23</t>
  </si>
  <si>
    <t>guitar pro 2024</t>
  </si>
  <si>
    <t>3rTN@-#rM3WPGfS</t>
  </si>
  <si>
    <t>IDS2024f</t>
  </si>
  <si>
    <t>cisco 2024</t>
  </si>
  <si>
    <t>IDP2024_cisco</t>
  </si>
  <si>
    <t>Carmita2024.</t>
  </si>
  <si>
    <t>nueva cuenta de usuario en pc portatil dic 2024</t>
  </si>
  <si>
    <t>c: SDS_2024</t>
  </si>
  <si>
    <t>correo: narcosala.banda@gmail.com</t>
  </si>
  <si>
    <t>PC PERS</t>
  </si>
  <si>
    <t>DSXF25</t>
  </si>
  <si>
    <t>RSC_EMP_AN = RECURSOS EMRESAS TIME</t>
  </si>
  <si>
    <t>contrasena pc portatil</t>
  </si>
  <si>
    <t>ZOTERO 2025</t>
  </si>
  <si>
    <t>correo: omar.figueroa@espoch.edu.ec</t>
  </si>
  <si>
    <t>C: DSFX2025</t>
  </si>
  <si>
    <t>¿Cuál es su color favorito?</t>
  </si>
  <si>
    <t>VERDE</t>
  </si>
  <si>
    <t>¿Cuál es su marca de auto favorita?</t>
  </si>
  <si>
    <t>TOYOTA</t>
  </si>
  <si>
    <t>¿Cuál es su fruta preferida?</t>
  </si>
  <si>
    <t>AGUACATE</t>
  </si>
  <si>
    <t>¿Cuál es el nombre de su madre?</t>
  </si>
  <si>
    <t>CARMELA</t>
  </si>
  <si>
    <t>¿Cuál es el nombre de su padre?</t>
  </si>
  <si>
    <t>PACIFICO</t>
  </si>
  <si>
    <t>¿Cuál es el nombre de su abuela materna?</t>
  </si>
  <si>
    <t>MARIA</t>
  </si>
  <si>
    <t>¿Cuál es el nombre de su abuela paterna?</t>
  </si>
  <si>
    <t>JULIA</t>
  </si>
  <si>
    <t>¿Cuánto calza?</t>
  </si>
  <si>
    <t>¿Cuál es el nombre de su mascota?</t>
  </si>
  <si>
    <t>POCHO</t>
  </si>
  <si>
    <t>¿Cuál es el nombre de su operadora telefónica?</t>
  </si>
  <si>
    <t>CNT</t>
  </si>
  <si>
    <t>DSFX2025</t>
  </si>
  <si>
    <t>Clave personal iees ENE 2025</t>
  </si>
  <si>
    <t>cta</t>
  </si>
  <si>
    <t>Us</t>
  </si>
  <si>
    <t>ofigueroads25</t>
  </si>
  <si>
    <t>Img</t>
  </si>
  <si>
    <t>Café</t>
  </si>
  <si>
    <t>tgta</t>
  </si>
  <si>
    <t>:0908</t>
  </si>
  <si>
    <t>DSFX25</t>
  </si>
  <si>
    <t>Pacif 2024</t>
  </si>
  <si>
    <t>IdeApp25</t>
  </si>
  <si>
    <t>OmarFProg</t>
  </si>
  <si>
    <t xml:space="preserve">GITHUB 2025 c: </t>
  </si>
  <si>
    <t>github 2025 u:</t>
  </si>
  <si>
    <t>ruta supa</t>
  </si>
  <si>
    <t>otras empresas-&gt;empresas-&gt;pension alimenticia personas</t>
  </si>
  <si>
    <t>cuentas OSCUS rosanita</t>
  </si>
  <si>
    <t>C: Carmita0404</t>
  </si>
  <si>
    <t>DSFX25_56</t>
  </si>
  <si>
    <t>clave SRI mami 18 jul 2024</t>
  </si>
  <si>
    <t>cedula Daniela Rivera</t>
  </si>
  <si>
    <t>tefl Daniela Ribera</t>
  </si>
  <si>
    <t>FIRMA ELECTRONICA MAMI</t>
  </si>
  <si>
    <t>Carmela04$</t>
  </si>
  <si>
    <t>correo Daniela Rivera</t>
  </si>
  <si>
    <t>danielarivera-1993@hotmail.com</t>
  </si>
  <si>
    <t>codigo de reuperacion github</t>
  </si>
  <si>
    <t>a9531-0015a</t>
  </si>
  <si>
    <t>37f73-a0b76</t>
  </si>
  <si>
    <t>f5577-bc4d3</t>
  </si>
  <si>
    <t>aead0-d9946</t>
  </si>
  <si>
    <t>23376-16ca2</t>
  </si>
  <si>
    <t>d14d5-09022</t>
  </si>
  <si>
    <t>2f22b-ee0a6</t>
  </si>
  <si>
    <t>6bab4-f1ae0</t>
  </si>
  <si>
    <t>89637-e8a6a</t>
  </si>
  <si>
    <t>da1c0-d1c9f</t>
  </si>
  <si>
    <t>39055-53a47</t>
  </si>
  <si>
    <t>b7d75-595bf</t>
  </si>
  <si>
    <t>c5d3e-dfb76</t>
  </si>
  <si>
    <t>82260-b7bb8</t>
  </si>
  <si>
    <t>54614-5b01d</t>
  </si>
  <si>
    <t>9d6fe-94208</t>
  </si>
  <si>
    <t>HADA MEDIDOR DE MADUREZ TECNOLOGICA DE JUNA EMPRESA</t>
  </si>
  <si>
    <t>CONTRASENA</t>
  </si>
  <si>
    <t>DSFX25_911</t>
  </si>
  <si>
    <t>chatbot Alexsander:</t>
  </si>
  <si>
    <t>correos: lorensport y omarfigueroa</t>
  </si>
  <si>
    <t>CC: DSFX25_45</t>
  </si>
  <si>
    <t>CE:omar.figueroa@espoch.edu.ec</t>
  </si>
  <si>
    <t>CN:colibri2022COE</t>
  </si>
  <si>
    <t>PIN FB 29FEB2025: 090809</t>
  </si>
  <si>
    <t>chatgpt</t>
  </si>
  <si>
    <t>CC: omar.figueroa@espoch.edu.ec</t>
  </si>
  <si>
    <t>CN: DSFX_25_56.fig</t>
  </si>
  <si>
    <t>DSFX25Riob</t>
  </si>
  <si>
    <t>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</t>
  </si>
  <si>
    <t>tocken 8 feb2025</t>
  </si>
  <si>
    <t>softdesign23</t>
  </si>
  <si>
    <t>AmeliSanti$26</t>
  </si>
  <si>
    <t>oh</t>
  </si>
  <si>
    <t>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</t>
  </si>
  <si>
    <t>tocken 22 feb2026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</si>
</sst>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4B4B4C"/>
      <name val="Arial"/>
      <family val="2"/>
    </font>
    <font>
      <sz val="12"/>
      <color rgb="FF434A54"/>
      <name val="Roboto"/>
    </font>
    <font>
      <sz val="8"/>
      <color rgb="FF000000"/>
      <name val="Verdana"/>
      <family val="2"/>
    </font>
    <font>
      <b/>
      <sz val="8"/>
      <color rgb="FF000000"/>
      <name val="Verdana"/>
      <family val="2"/>
    </font>
    <font>
      <b/>
      <sz val="12"/>
      <color rgb="FF790000"/>
      <name val="Times New Roman"/>
      <family val="1"/>
    </font>
    <font>
      <sz val="12"/>
      <color rgb="FF333333"/>
      <name val="Arial"/>
      <family val="2"/>
    </font>
    <font>
      <sz val="11"/>
      <color rgb="FF201F1E"/>
      <name val="Segoe UI"/>
      <family val="2"/>
    </font>
    <font>
      <sz val="12"/>
      <color rgb="FF222222"/>
      <name val="Arial"/>
      <family val="2"/>
    </font>
    <font>
      <sz val="11"/>
      <color rgb="FF333333"/>
      <name val="Verdana"/>
      <family val="2"/>
    </font>
    <font>
      <sz val="7"/>
      <color rgb="FF72828B"/>
      <name val="Titillium_webregular"/>
    </font>
    <font>
      <sz val="10"/>
      <color rgb="FF1F2328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horizontal="justify" vertical="center"/>
    </xf>
    <xf numFmtId="0" fontId="3" fillId="0" borderId="0" xfId="0" applyFont="1"/>
    <xf numFmtId="0" fontId="3" fillId="0" borderId="0" xfId="1" applyFont="1" applyAlignment="1">
      <alignment horizontal="justify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1" applyFont="1" applyAlignment="1">
      <alignment horizontal="left"/>
    </xf>
    <xf numFmtId="15" fontId="2" fillId="0" borderId="0" xfId="0" applyNumberFormat="1" applyFont="1" applyAlignment="1">
      <alignment horizontal="left"/>
    </xf>
    <xf numFmtId="0" fontId="4" fillId="0" borderId="0" xfId="0" applyFont="1"/>
    <xf numFmtId="0" fontId="1" fillId="0" borderId="0" xfId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1" applyAlignment="1">
      <alignment horizontal="left"/>
    </xf>
    <xf numFmtId="0" fontId="7" fillId="0" borderId="0" xfId="0" applyFont="1" applyAlignment="1">
      <alignment vertical="center" wrapText="1"/>
    </xf>
    <xf numFmtId="15" fontId="8" fillId="0" borderId="0" xfId="0" applyNumberFormat="1" applyFont="1" applyAlignment="1">
      <alignment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15" fontId="0" fillId="0" borderId="0" xfId="0" applyNumberFormat="1"/>
    <xf numFmtId="0" fontId="13" fillId="0" borderId="0" xfId="0" applyFont="1"/>
    <xf numFmtId="0" fontId="14" fillId="0" borderId="0" xfId="0" applyFont="1"/>
    <xf numFmtId="0" fontId="3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122</xdr:row>
      <xdr:rowOff>0</xdr:rowOff>
    </xdr:from>
    <xdr:to>
      <xdr:col>3</xdr:col>
      <xdr:colOff>529464</xdr:colOff>
      <xdr:row>147</xdr:row>
      <xdr:rowOff>158155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9EB2E6-20E1-3D40-4D8C-2D79364F1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91750"/>
          <a:ext cx="6085714" cy="4761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52</xdr:row>
      <xdr:rowOff>19050</xdr:rowOff>
    </xdr:from>
    <xdr:to>
      <xdr:col>1</xdr:col>
      <xdr:colOff>1724195</xdr:colOff>
      <xdr:row>52</xdr:row>
      <xdr:rowOff>171471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11515725"/>
          <a:ext cx="1219370" cy="1524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7</xdr:col>
      <xdr:colOff>218196</xdr:colOff>
      <xdr:row>19</xdr:row>
      <xdr:rowOff>28286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2075"/>
          <a:ext cx="7028571" cy="2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7</xdr:col>
      <xdr:colOff>582057</xdr:colOff>
      <xdr:row>51</xdr:row>
      <xdr:rowOff>48429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xfrm>
          <a:off x="0" y="4029075"/>
          <a:ext cx="7392432" cy="5763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7</xdr:col>
      <xdr:colOff>515372</xdr:colOff>
      <xdr:row>69</xdr:row>
      <xdr:rowOff>29031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xfrm>
          <a:off x="0" y="9934575"/>
          <a:ext cx="7325747" cy="32675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463803</xdr:colOff>
      <xdr:row>79</xdr:row>
      <xdr:rowOff>142875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xfrm>
          <a:off x="0" y="13363575"/>
          <a:ext cx="7274178" cy="18573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67752</xdr:rowOff>
    </xdr:from>
    <xdr:to>
      <xdr:col>0</xdr:col>
      <xdr:colOff>1315420</xdr:colOff>
      <xdr:row>54</xdr:row>
      <xdr:rowOff>141588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4318BDF-C0DD-86C7-CA1D-007739248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34447"/>
          <a:ext cx="1315420" cy="609765"/>
        </a:xfrm>
        <a:prstGeom prst="rect">
          <a:avLst/>
        </a:prstGeom>
      </xdr:spPr>
    </xdr:pic>
    <xdr:clientData/>
  </xdr:twoCellAnchor>
  <xdr:twoCellAnchor editAs="oneCell">
    <xdr:from>
      <xdr:col>0</xdr:col>
      <xdr:colOff>1307670</xdr:colOff>
      <xdr:row>51</xdr:row>
      <xdr:rowOff>61400</xdr:rowOff>
    </xdr:from>
    <xdr:to>
      <xdr:col>1</xdr:col>
      <xdr:colOff>1479177</xdr:colOff>
      <xdr:row>54</xdr:row>
      <xdr:rowOff>121494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BAC742-0AD7-9759-D63E-6AA8FDF30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7670" y="9328095"/>
          <a:ext cx="1514640" cy="5960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1</xdr:col>
      <xdr:colOff>174302</xdr:colOff>
      <xdr:row>59</xdr:row>
      <xdr:rowOff>67751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BD9F53E-79BF-1C96-ECC1-0E7ED15A8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977034"/>
          <a:ext cx="1514260" cy="7749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1</xdr:rowOff>
    </xdr:from>
    <xdr:to>
      <xdr:col>2</xdr:col>
      <xdr:colOff>16145</xdr:colOff>
      <xdr:row>59</xdr:row>
      <xdr:rowOff>122857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FA3B94-024A-8F45-54DC-4E49BF7E4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9958" y="9977035"/>
          <a:ext cx="1880784" cy="8363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</xdr:col>
      <xdr:colOff>197701</xdr:colOff>
      <xdr:row>63</xdr:row>
      <xdr:rowOff>140398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5A70E70-5DAA-0114-EDE0-59C9E8D0A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864958"/>
          <a:ext cx="1540834" cy="6699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hmarfigueroa@hotmail.com" TargetMode="External"/><Relationship Id="rId2" Type="http://schemas.openxmlformats.org/officeDocument/2006/relationships/hyperlink" Target="mailto:fi.studio.sources@gmail.com" TargetMode="External"/><Relationship Id="rId1" Type="http://schemas.openxmlformats.org/officeDocument/2006/relationships/hyperlink" Target="mailto:Gcarmela_d_m@hot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arcosala.banda@gmai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omar.figueroa@espoch.edu.ed" TargetMode="External"/><Relationship Id="rId1" Type="http://schemas.openxmlformats.org/officeDocument/2006/relationships/hyperlink" Target="mailto:omar.figueroa@espoch.edu.ec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ohmarfigueroa@hotmail.com" TargetMode="External"/><Relationship Id="rId4" Type="http://schemas.openxmlformats.org/officeDocument/2006/relationships/hyperlink" Target="mailto:ohmarfigueroa@hot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danielarivera-1993@hotmail.com" TargetMode="External"/><Relationship Id="rId1" Type="http://schemas.openxmlformats.org/officeDocument/2006/relationships/hyperlink" Target="mailto:fi.studio.sources@gmail.com" TargetMode="Externa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Gcarmela_d_m@hot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ais.usvisa-info.com/es-ec/niv/signup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3rTN@-#rM3WPGfS" TargetMode="External"/><Relationship Id="rId2" Type="http://schemas.openxmlformats.org/officeDocument/2006/relationships/hyperlink" Target="mailto:ohmarfigueroa@hotmail.com" TargetMode="External"/><Relationship Id="rId1" Type="http://schemas.openxmlformats.org/officeDocument/2006/relationships/hyperlink" Target="mailto:ohmarfigueroa@hot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"/>
  <sheetViews>
    <sheetView workbookViewId="0">
      <selection activeCell="A81" sqref="A81"/>
    </sheetView>
  </sheetViews>
  <sheetFormatPr baseColWidth="10" defaultRowHeight="15.5"/>
  <cols>
    <col min="1" max="1" width="27.54296875" style="2" customWidth="1"/>
    <col min="2" max="2" width="55.81640625" style="4" customWidth="1"/>
  </cols>
  <sheetData>
    <row r="1" spans="1:2">
      <c r="A1" s="2" t="s">
        <v>2</v>
      </c>
      <c r="B1" s="4" t="s">
        <v>3</v>
      </c>
    </row>
    <row r="2" spans="1:2">
      <c r="A2" s="2" t="s">
        <v>0</v>
      </c>
      <c r="B2" s="5" t="s">
        <v>1</v>
      </c>
    </row>
    <row r="3" spans="1:2" ht="27" customHeight="1">
      <c r="A3" s="1" t="s">
        <v>4</v>
      </c>
      <c r="B3" s="5" t="s">
        <v>5</v>
      </c>
    </row>
    <row r="4" spans="1:2" ht="27" customHeight="1">
      <c r="B4" s="5" t="s">
        <v>6</v>
      </c>
    </row>
    <row r="5" spans="1:2" ht="27" customHeight="1">
      <c r="B5" s="5" t="s">
        <v>7</v>
      </c>
    </row>
    <row r="6" spans="1:2">
      <c r="A6" s="1" t="s">
        <v>8</v>
      </c>
      <c r="B6" s="5" t="s">
        <v>9</v>
      </c>
    </row>
    <row r="7" spans="1:2">
      <c r="B7" s="5" t="s">
        <v>10</v>
      </c>
    </row>
    <row r="9" spans="1:2">
      <c r="A9" s="1" t="s">
        <v>11</v>
      </c>
      <c r="B9" s="5" t="s">
        <v>12</v>
      </c>
    </row>
    <row r="10" spans="1:2">
      <c r="B10" s="5" t="s">
        <v>13</v>
      </c>
    </row>
    <row r="11" spans="1:2">
      <c r="A11" s="1" t="s">
        <v>14</v>
      </c>
      <c r="B11" s="4" t="s">
        <v>15</v>
      </c>
    </row>
    <row r="12" spans="1:2">
      <c r="B12" s="4" t="s">
        <v>16</v>
      </c>
    </row>
    <row r="13" spans="1:2">
      <c r="A13" s="2" t="s">
        <v>17</v>
      </c>
      <c r="B13" s="5" t="s">
        <v>16</v>
      </c>
    </row>
    <row r="14" spans="1:2">
      <c r="A14" s="1" t="s">
        <v>80</v>
      </c>
    </row>
    <row r="15" spans="1:2">
      <c r="A15" s="1" t="s">
        <v>81</v>
      </c>
    </row>
    <row r="16" spans="1:2">
      <c r="A16" s="1" t="s">
        <v>82</v>
      </c>
    </row>
    <row r="18" spans="1:2">
      <c r="A18" s="1" t="s">
        <v>18</v>
      </c>
      <c r="B18" s="5" t="s">
        <v>19</v>
      </c>
    </row>
    <row r="20" spans="1:2">
      <c r="A20" s="1" t="s">
        <v>20</v>
      </c>
      <c r="B20" s="4" t="s">
        <v>21</v>
      </c>
    </row>
    <row r="22" spans="1:2">
      <c r="A22" s="1" t="s">
        <v>22</v>
      </c>
      <c r="B22" s="4">
        <v>34387</v>
      </c>
    </row>
    <row r="24" spans="1:2">
      <c r="A24" s="1" t="s">
        <v>23</v>
      </c>
      <c r="B24" s="4" t="s">
        <v>24</v>
      </c>
    </row>
    <row r="26" spans="1:2">
      <c r="A26" s="1" t="s">
        <v>25</v>
      </c>
      <c r="B26" s="4" t="s">
        <v>26</v>
      </c>
    </row>
    <row r="28" spans="1:2">
      <c r="A28" s="2" t="s">
        <v>27</v>
      </c>
      <c r="B28" s="4" t="s">
        <v>26</v>
      </c>
    </row>
    <row r="30" spans="1:2">
      <c r="A30" s="1" t="s">
        <v>28</v>
      </c>
      <c r="B30" s="4" t="s">
        <v>16</v>
      </c>
    </row>
    <row r="32" spans="1:2">
      <c r="A32" s="2" t="s">
        <v>29</v>
      </c>
      <c r="B32" s="5" t="s">
        <v>30</v>
      </c>
    </row>
    <row r="34" spans="1:2">
      <c r="A34" s="1" t="s">
        <v>31</v>
      </c>
      <c r="B34" s="4" t="s">
        <v>32</v>
      </c>
    </row>
    <row r="36" spans="1:2">
      <c r="A36" s="2" t="s">
        <v>33</v>
      </c>
      <c r="B36" s="6" t="s">
        <v>34</v>
      </c>
    </row>
    <row r="37" spans="1:2">
      <c r="B37" s="5" t="s">
        <v>35</v>
      </c>
    </row>
    <row r="39" spans="1:2" ht="31">
      <c r="A39" s="1" t="s">
        <v>36</v>
      </c>
      <c r="B39" s="5" t="s">
        <v>37</v>
      </c>
    </row>
    <row r="40" spans="1:2">
      <c r="B40" s="5" t="s">
        <v>83</v>
      </c>
    </row>
    <row r="42" spans="1:2">
      <c r="A42" s="1" t="s">
        <v>89</v>
      </c>
      <c r="B42" s="4" t="s">
        <v>38</v>
      </c>
    </row>
    <row r="44" spans="1:2">
      <c r="A44" s="1" t="s">
        <v>39</v>
      </c>
      <c r="B44" s="7">
        <v>43276</v>
      </c>
    </row>
    <row r="45" spans="1:2">
      <c r="B45" s="5" t="s">
        <v>40</v>
      </c>
    </row>
    <row r="46" spans="1:2">
      <c r="B46" s="5" t="s">
        <v>41</v>
      </c>
    </row>
    <row r="47" spans="1:2">
      <c r="B47" s="5" t="s">
        <v>42</v>
      </c>
    </row>
    <row r="48" spans="1:2">
      <c r="B48" s="5" t="s">
        <v>43</v>
      </c>
    </row>
    <row r="52" spans="1:2" ht="31">
      <c r="A52" s="1" t="s">
        <v>46</v>
      </c>
      <c r="B52" s="5">
        <v>4147</v>
      </c>
    </row>
    <row r="54" spans="1:2">
      <c r="A54" s="1" t="s">
        <v>47</v>
      </c>
      <c r="B54" s="5" t="s">
        <v>78</v>
      </c>
    </row>
    <row r="55" spans="1:2" ht="31">
      <c r="A55" s="1" t="s">
        <v>48</v>
      </c>
      <c r="B55" s="5" t="s">
        <v>49</v>
      </c>
    </row>
    <row r="57" spans="1:2" ht="31">
      <c r="A57" s="1" t="s">
        <v>50</v>
      </c>
      <c r="B57" s="5" t="s">
        <v>51</v>
      </c>
    </row>
    <row r="59" spans="1:2">
      <c r="A59" s="1" t="s">
        <v>53</v>
      </c>
      <c r="B59" s="5" t="s">
        <v>54</v>
      </c>
    </row>
    <row r="61" spans="1:2" ht="31">
      <c r="A61" s="3" t="s">
        <v>55</v>
      </c>
      <c r="B61" s="4" t="s">
        <v>56</v>
      </c>
    </row>
    <row r="63" spans="1:2">
      <c r="A63" s="1" t="s">
        <v>57</v>
      </c>
      <c r="B63" s="5" t="s">
        <v>16</v>
      </c>
    </row>
    <row r="64" spans="1:2">
      <c r="B64" s="5" t="s">
        <v>58</v>
      </c>
    </row>
    <row r="65" spans="1:2">
      <c r="B65" s="5" t="s">
        <v>59</v>
      </c>
    </row>
    <row r="66" spans="1:2">
      <c r="B66" s="5"/>
    </row>
    <row r="67" spans="1:2">
      <c r="A67" s="1" t="s">
        <v>58</v>
      </c>
      <c r="B67" s="5" t="s">
        <v>64</v>
      </c>
    </row>
    <row r="68" spans="1:2">
      <c r="B68" s="5" t="s">
        <v>65</v>
      </c>
    </row>
    <row r="70" spans="1:2" ht="31">
      <c r="A70" s="1" t="s">
        <v>60</v>
      </c>
      <c r="B70" s="5" t="s">
        <v>84</v>
      </c>
    </row>
    <row r="71" spans="1:2">
      <c r="B71" s="5" t="s">
        <v>85</v>
      </c>
    </row>
    <row r="73" spans="1:2">
      <c r="A73" s="1" t="s">
        <v>61</v>
      </c>
      <c r="B73" s="5" t="s">
        <v>79</v>
      </c>
    </row>
    <row r="74" spans="1:2">
      <c r="B74" s="5" t="s">
        <v>62</v>
      </c>
    </row>
    <row r="75" spans="1:2">
      <c r="B75" s="4" t="s">
        <v>63</v>
      </c>
    </row>
    <row r="76" spans="1:2">
      <c r="A76" s="2" t="s">
        <v>66</v>
      </c>
      <c r="B76" s="5" t="s">
        <v>67</v>
      </c>
    </row>
    <row r="77" spans="1:2">
      <c r="B77" s="5" t="s">
        <v>68</v>
      </c>
    </row>
    <row r="78" spans="1:2">
      <c r="A78" s="2" t="s">
        <v>69</v>
      </c>
      <c r="B78" s="4" t="s">
        <v>70</v>
      </c>
    </row>
    <row r="79" spans="1:2">
      <c r="B79" s="5" t="s">
        <v>16</v>
      </c>
    </row>
    <row r="80" spans="1:2">
      <c r="B80" s="6" t="s">
        <v>71</v>
      </c>
    </row>
    <row r="82" spans="1:2">
      <c r="A82" s="1" t="s">
        <v>72</v>
      </c>
      <c r="B82" s="5" t="s">
        <v>73</v>
      </c>
    </row>
    <row r="84" spans="1:2">
      <c r="A84" s="2" t="s">
        <v>74</v>
      </c>
      <c r="B84" s="5" t="s">
        <v>75</v>
      </c>
    </row>
    <row r="86" spans="1:2">
      <c r="A86" s="1" t="s">
        <v>76</v>
      </c>
      <c r="B86" s="5" t="s">
        <v>77</v>
      </c>
    </row>
  </sheetData>
  <hyperlinks>
    <hyperlink ref="B36" r:id="rId1" display="mailto:Gcarmela_d_m@hotmail.com" xr:uid="{00000000-0004-0000-0000-000000000000}"/>
    <hyperlink ref="A61" r:id="rId2" display="mailto:fi.studio.sources@gmail.com" xr:uid="{00000000-0004-0000-0000-000001000000}"/>
    <hyperlink ref="B80" r:id="rId3" display="mailto:ohmarfigueroa@hotmail.com" xr:uid="{00000000-0004-0000-0000-000002000000}"/>
  </hyperlinks>
  <pageMargins left="0.7" right="0.7" top="0.75" bottom="0.75" header="0.3" footer="0.3"/>
  <pageSetup paperSize="9"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1"/>
  <sheetViews>
    <sheetView tabSelected="1" topLeftCell="A79" workbookViewId="0">
      <selection activeCell="B93" sqref="B93"/>
    </sheetView>
  </sheetViews>
  <sheetFormatPr baseColWidth="10" defaultRowHeight="14.5"/>
  <cols>
    <col min="1" max="1" width="29.1796875" customWidth="1"/>
    <col min="2" max="2" width="39.453125" customWidth="1"/>
  </cols>
  <sheetData>
    <row r="1" spans="1:2" ht="15.5">
      <c r="A1" s="1" t="s">
        <v>8</v>
      </c>
      <c r="B1" s="5" t="s">
        <v>9</v>
      </c>
    </row>
    <row r="2" spans="1:2" ht="15.5">
      <c r="A2" s="2"/>
      <c r="B2" s="5" t="s">
        <v>10</v>
      </c>
    </row>
    <row r="3" spans="1:2" ht="15.5">
      <c r="A3" s="2" t="s">
        <v>27</v>
      </c>
      <c r="B3" s="4" t="s">
        <v>26</v>
      </c>
    </row>
    <row r="5" spans="1:2" ht="15.5">
      <c r="A5" s="1" t="s">
        <v>31</v>
      </c>
      <c r="B5" s="4" t="s">
        <v>32</v>
      </c>
    </row>
    <row r="7" spans="1:2" ht="15.5">
      <c r="A7" s="1" t="s">
        <v>57</v>
      </c>
      <c r="B7" s="5" t="s">
        <v>16</v>
      </c>
    </row>
    <row r="8" spans="1:2" ht="15.5">
      <c r="A8" s="2"/>
      <c r="B8" s="5" t="s">
        <v>58</v>
      </c>
    </row>
    <row r="9" spans="1:2" ht="15.5">
      <c r="A9" s="2"/>
      <c r="B9" s="5" t="s">
        <v>59</v>
      </c>
    </row>
    <row r="10" spans="1:2" ht="15.5">
      <c r="A10" s="2"/>
      <c r="B10" s="5"/>
    </row>
    <row r="11" spans="1:2" ht="15.5">
      <c r="A11" s="1" t="s">
        <v>58</v>
      </c>
      <c r="B11" s="5" t="s">
        <v>64</v>
      </c>
    </row>
    <row r="12" spans="1:2" ht="15.5">
      <c r="A12" s="2"/>
      <c r="B12" s="5" t="s">
        <v>65</v>
      </c>
    </row>
    <row r="14" spans="1:2" ht="31">
      <c r="A14" s="1" t="s">
        <v>60</v>
      </c>
      <c r="B14" s="5" t="s">
        <v>84</v>
      </c>
    </row>
    <row r="15" spans="1:2" ht="15.5">
      <c r="A15" s="2" t="s">
        <v>149</v>
      </c>
      <c r="B15" s="5" t="s">
        <v>266</v>
      </c>
    </row>
    <row r="18" spans="1:3" ht="15.5">
      <c r="A18" s="8"/>
      <c r="B18" s="24"/>
    </row>
    <row r="19" spans="1:3" ht="15.5">
      <c r="A19" s="1" t="s">
        <v>61</v>
      </c>
      <c r="B19" s="5" t="s">
        <v>188</v>
      </c>
      <c r="C19" s="21">
        <v>45266</v>
      </c>
    </row>
    <row r="20" spans="1:3" ht="15.5">
      <c r="A20" s="2"/>
      <c r="B20" s="5" t="s">
        <v>189</v>
      </c>
    </row>
    <row r="21" spans="1:3" ht="15.5">
      <c r="A21" s="2"/>
      <c r="B21" s="4"/>
    </row>
    <row r="22" spans="1:3" ht="15.5">
      <c r="A22" s="2" t="s">
        <v>66</v>
      </c>
      <c r="B22" s="5" t="s">
        <v>67</v>
      </c>
    </row>
    <row r="23" spans="1:3" ht="15.5">
      <c r="A23" s="2"/>
      <c r="B23" s="5" t="s">
        <v>68</v>
      </c>
    </row>
    <row r="24" spans="1:3" ht="15.5">
      <c r="A24" s="2" t="s">
        <v>190</v>
      </c>
      <c r="B24" s="5" t="s">
        <v>191</v>
      </c>
      <c r="C24" s="21">
        <v>45266</v>
      </c>
    </row>
    <row r="25" spans="1:3" ht="15.5">
      <c r="A25" s="2"/>
      <c r="B25" s="5"/>
    </row>
    <row r="26" spans="1:3" ht="15.5">
      <c r="A26" t="s">
        <v>126</v>
      </c>
      <c r="B26" s="5" t="s">
        <v>154</v>
      </c>
    </row>
    <row r="27" spans="1:3" ht="15.5">
      <c r="A27" s="1" t="s">
        <v>72</v>
      </c>
      <c r="B27" s="5" t="s">
        <v>73</v>
      </c>
    </row>
    <row r="29" spans="1:3">
      <c r="A29" t="s">
        <v>102</v>
      </c>
    </row>
    <row r="30" spans="1:3">
      <c r="A30" t="s">
        <v>103</v>
      </c>
      <c r="B30" s="9" t="s">
        <v>104</v>
      </c>
    </row>
    <row r="31" spans="1:3">
      <c r="A31" t="s">
        <v>96</v>
      </c>
      <c r="B31" t="s">
        <v>98</v>
      </c>
    </row>
    <row r="33" spans="1:2">
      <c r="A33" t="s">
        <v>105</v>
      </c>
      <c r="B33" t="s">
        <v>107</v>
      </c>
    </row>
    <row r="34" spans="1:2">
      <c r="B34" t="s">
        <v>106</v>
      </c>
    </row>
    <row r="35" spans="1:2" ht="23">
      <c r="A35" s="10" t="s">
        <v>108</v>
      </c>
      <c r="B35" t="s">
        <v>109</v>
      </c>
    </row>
    <row r="37" spans="1:2">
      <c r="A37" t="s">
        <v>110</v>
      </c>
      <c r="B37" t="s">
        <v>111</v>
      </c>
    </row>
    <row r="40" spans="1:2">
      <c r="A40" t="s">
        <v>112</v>
      </c>
      <c r="B40" t="s">
        <v>298</v>
      </c>
    </row>
    <row r="41" spans="1:2">
      <c r="B41" t="s">
        <v>297</v>
      </c>
    </row>
    <row r="43" spans="1:2">
      <c r="A43" t="s">
        <v>128</v>
      </c>
    </row>
    <row r="44" spans="1:2">
      <c r="A44" t="s">
        <v>127</v>
      </c>
    </row>
    <row r="46" spans="1:2">
      <c r="A46" t="s">
        <v>145</v>
      </c>
      <c r="B46" t="s">
        <v>146</v>
      </c>
    </row>
    <row r="47" spans="1:2">
      <c r="B47" t="s">
        <v>147</v>
      </c>
    </row>
    <row r="48" spans="1:2">
      <c r="B48" t="s">
        <v>148</v>
      </c>
    </row>
    <row r="50" spans="1:2">
      <c r="A50" t="s">
        <v>151</v>
      </c>
      <c r="B50" s="20" t="s">
        <v>152</v>
      </c>
    </row>
    <row r="51" spans="1:2">
      <c r="B51" s="20" t="s">
        <v>153</v>
      </c>
    </row>
    <row r="53" spans="1:2">
      <c r="A53" t="s">
        <v>169</v>
      </c>
    </row>
    <row r="54" spans="1:2">
      <c r="A54" t="s">
        <v>170</v>
      </c>
      <c r="B54" s="9" t="s">
        <v>171</v>
      </c>
    </row>
    <row r="55" spans="1:2">
      <c r="A55" t="s">
        <v>149</v>
      </c>
      <c r="B55">
        <v>975635</v>
      </c>
    </row>
    <row r="57" spans="1:2">
      <c r="A57" t="s">
        <v>172</v>
      </c>
    </row>
    <row r="58" spans="1:2">
      <c r="A58" t="s">
        <v>149</v>
      </c>
      <c r="B58" t="s">
        <v>150</v>
      </c>
    </row>
    <row r="59" spans="1:2">
      <c r="A59" t="s">
        <v>173</v>
      </c>
      <c r="B59">
        <v>5432</v>
      </c>
    </row>
    <row r="61" spans="1:2">
      <c r="A61" t="s">
        <v>175</v>
      </c>
    </row>
    <row r="62" spans="1:2">
      <c r="A62" t="s">
        <v>176</v>
      </c>
      <c r="B62" t="s">
        <v>177</v>
      </c>
    </row>
    <row r="63" spans="1:2">
      <c r="A63" t="s">
        <v>178</v>
      </c>
      <c r="B63" t="s">
        <v>179</v>
      </c>
    </row>
    <row r="65" spans="1:2">
      <c r="A65" t="s">
        <v>192</v>
      </c>
      <c r="B65" t="s">
        <v>193</v>
      </c>
    </row>
    <row r="66" spans="1:2">
      <c r="A66" t="s">
        <v>196</v>
      </c>
      <c r="B66" s="9" t="s">
        <v>141</v>
      </c>
    </row>
    <row r="67" spans="1:2">
      <c r="A67" t="s">
        <v>194</v>
      </c>
      <c r="B67" t="s">
        <v>195</v>
      </c>
    </row>
    <row r="68" spans="1:2">
      <c r="A68" t="s">
        <v>138</v>
      </c>
      <c r="B68" t="s">
        <v>187</v>
      </c>
    </row>
    <row r="70" spans="1:2">
      <c r="A70" t="s">
        <v>198</v>
      </c>
    </row>
    <row r="71" spans="1:2">
      <c r="A71" t="s">
        <v>199</v>
      </c>
    </row>
    <row r="72" spans="1:2">
      <c r="A72" t="s">
        <v>200</v>
      </c>
      <c r="B72" s="9" t="s">
        <v>71</v>
      </c>
    </row>
    <row r="73" spans="1:2">
      <c r="A73" t="s">
        <v>107</v>
      </c>
      <c r="B73" t="s">
        <v>201</v>
      </c>
    </row>
    <row r="75" spans="1:2">
      <c r="A75" t="s">
        <v>207</v>
      </c>
      <c r="B75" t="s">
        <v>208</v>
      </c>
    </row>
    <row r="76" spans="1:2">
      <c r="A76" t="s">
        <v>207</v>
      </c>
      <c r="B76" t="s">
        <v>209</v>
      </c>
    </row>
    <row r="78" spans="1:2">
      <c r="A78" t="s">
        <v>210</v>
      </c>
      <c r="B78" t="s">
        <v>214</v>
      </c>
    </row>
    <row r="80" spans="1:2">
      <c r="A80" t="s">
        <v>215</v>
      </c>
      <c r="B80" t="s">
        <v>216</v>
      </c>
    </row>
    <row r="82" spans="1:2">
      <c r="A82" t="s">
        <v>218</v>
      </c>
      <c r="B82" t="s">
        <v>219</v>
      </c>
    </row>
    <row r="83" spans="1:2">
      <c r="B83" t="s">
        <v>220</v>
      </c>
    </row>
    <row r="84" spans="1:2">
      <c r="A84" t="s">
        <v>224</v>
      </c>
      <c r="B84" t="s">
        <v>222</v>
      </c>
    </row>
    <row r="87" spans="1:2">
      <c r="A87" t="s">
        <v>225</v>
      </c>
      <c r="B87" t="s">
        <v>226</v>
      </c>
    </row>
    <row r="88" spans="1:2">
      <c r="B88" t="s">
        <v>227</v>
      </c>
    </row>
    <row r="90" spans="1:2" ht="15.5">
      <c r="A90" s="8" t="s">
        <v>260</v>
      </c>
      <c r="B90" s="24" t="s">
        <v>258</v>
      </c>
    </row>
    <row r="91" spans="1:2" ht="15.5">
      <c r="A91" s="8" t="s">
        <v>261</v>
      </c>
      <c r="B91" s="24" t="s">
        <v>259</v>
      </c>
    </row>
    <row r="92" spans="1:2">
      <c r="A92" t="s">
        <v>305</v>
      </c>
      <c r="B92" t="s">
        <v>304</v>
      </c>
    </row>
    <row r="93" spans="1:2">
      <c r="A93" t="s">
        <v>310</v>
      </c>
      <c r="B93" t="s">
        <v>309</v>
      </c>
    </row>
    <row r="94" spans="1:2">
      <c r="A94" t="s">
        <v>274</v>
      </c>
      <c r="B94" s="25" t="s">
        <v>275</v>
      </c>
    </row>
    <row r="95" spans="1:2">
      <c r="B95" s="25" t="s">
        <v>276</v>
      </c>
    </row>
    <row r="96" spans="1:2">
      <c r="B96" s="25" t="s">
        <v>277</v>
      </c>
    </row>
    <row r="97" spans="1:2">
      <c r="B97" s="25" t="s">
        <v>278</v>
      </c>
    </row>
    <row r="98" spans="1:2">
      <c r="B98" s="25" t="s">
        <v>279</v>
      </c>
    </row>
    <row r="99" spans="1:2">
      <c r="B99" s="25" t="s">
        <v>280</v>
      </c>
    </row>
    <row r="100" spans="1:2">
      <c r="B100" s="25" t="s">
        <v>281</v>
      </c>
    </row>
    <row r="101" spans="1:2">
      <c r="B101" s="25" t="s">
        <v>282</v>
      </c>
    </row>
    <row r="102" spans="1:2">
      <c r="B102" s="25" t="s">
        <v>283</v>
      </c>
    </row>
    <row r="103" spans="1:2">
      <c r="B103" s="25" t="s">
        <v>284</v>
      </c>
    </row>
    <row r="104" spans="1:2">
      <c r="B104" s="25" t="s">
        <v>285</v>
      </c>
    </row>
    <row r="105" spans="1:2">
      <c r="B105" s="25" t="s">
        <v>286</v>
      </c>
    </row>
    <row r="106" spans="1:2">
      <c r="B106" s="25" t="s">
        <v>287</v>
      </c>
    </row>
    <row r="107" spans="1:2">
      <c r="B107" s="25" t="s">
        <v>288</v>
      </c>
    </row>
    <row r="108" spans="1:2">
      <c r="B108" s="25" t="s">
        <v>289</v>
      </c>
    </row>
    <row r="109" spans="1:2">
      <c r="B109" s="25" t="s">
        <v>290</v>
      </c>
    </row>
    <row r="111" spans="1:2">
      <c r="A111" t="s">
        <v>291</v>
      </c>
    </row>
    <row r="112" spans="1:2">
      <c r="A112" t="s">
        <v>140</v>
      </c>
      <c r="B112" s="26" t="s">
        <v>71</v>
      </c>
    </row>
    <row r="113" spans="1:2">
      <c r="A113" t="s">
        <v>292</v>
      </c>
      <c r="B113" t="s">
        <v>293</v>
      </c>
    </row>
    <row r="115" spans="1:2">
      <c r="A115" t="s">
        <v>294</v>
      </c>
    </row>
    <row r="116" spans="1:2">
      <c r="A116" t="s">
        <v>295</v>
      </c>
    </row>
    <row r="117" spans="1:2">
      <c r="A117" t="s">
        <v>296</v>
      </c>
    </row>
    <row r="119" spans="1:2">
      <c r="A119" t="s">
        <v>300</v>
      </c>
    </row>
    <row r="120" spans="1:2">
      <c r="A120" t="s">
        <v>301</v>
      </c>
    </row>
    <row r="121" spans="1:2">
      <c r="A121" t="s">
        <v>302</v>
      </c>
    </row>
  </sheetData>
  <phoneticPr fontId="16" type="noConversion"/>
  <hyperlinks>
    <hyperlink ref="B30" r:id="rId1" xr:uid="{00000000-0004-0000-0100-000000000000}"/>
    <hyperlink ref="B54" r:id="rId2" xr:uid="{00000000-0004-0000-0100-000001000000}"/>
    <hyperlink ref="B66" r:id="rId3" xr:uid="{00000000-0004-0000-0100-000002000000}"/>
    <hyperlink ref="B72" r:id="rId4" xr:uid="{00000000-0004-0000-0100-000003000000}"/>
    <hyperlink ref="B112" r:id="rId5" xr:uid="{00000000-0004-0000-0100-000004000000}"/>
  </hyperlinks>
  <pageMargins left="0.7" right="0.7" top="0.75" bottom="0.75" header="0.3" footer="0.3"/>
  <pageSetup paperSize="9" orientation="portrait" r:id="rId6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"/>
  <sheetViews>
    <sheetView topLeftCell="A35" workbookViewId="0">
      <selection activeCell="B39" sqref="B39"/>
    </sheetView>
  </sheetViews>
  <sheetFormatPr baseColWidth="10" defaultRowHeight="14.5"/>
  <cols>
    <col min="1" max="1" width="24" customWidth="1"/>
    <col min="2" max="2" width="31.81640625" bestFit="1" customWidth="1"/>
  </cols>
  <sheetData>
    <row r="1" spans="1:2" ht="15.5">
      <c r="A1" s="2" t="s">
        <v>0</v>
      </c>
      <c r="B1" s="5" t="s">
        <v>1</v>
      </c>
    </row>
    <row r="2" spans="1:2" ht="15.5">
      <c r="A2" s="1" t="s">
        <v>4</v>
      </c>
      <c r="B2" s="5" t="s">
        <v>5</v>
      </c>
    </row>
    <row r="3" spans="1:2" ht="15.5">
      <c r="A3" s="2"/>
      <c r="B3" s="5" t="s">
        <v>6</v>
      </c>
    </row>
    <row r="4" spans="1:2" ht="15.5">
      <c r="A4" s="2"/>
      <c r="B4" s="5" t="s">
        <v>7</v>
      </c>
    </row>
    <row r="5" spans="1:2">
      <c r="A5" t="s">
        <v>88</v>
      </c>
      <c r="B5">
        <v>8752</v>
      </c>
    </row>
    <row r="7" spans="1:2" ht="15.5">
      <c r="A7" s="1" t="s">
        <v>20</v>
      </c>
      <c r="B7" s="4" t="s">
        <v>21</v>
      </c>
    </row>
    <row r="9" spans="1:2" ht="31">
      <c r="A9" s="1" t="s">
        <v>22</v>
      </c>
      <c r="B9" s="4">
        <v>34387</v>
      </c>
    </row>
    <row r="12" spans="1:2" ht="15.5">
      <c r="A12" s="1" t="s">
        <v>89</v>
      </c>
      <c r="B12" s="4" t="s">
        <v>38</v>
      </c>
    </row>
    <row r="14" spans="1:2" ht="15.5">
      <c r="A14" s="1" t="s">
        <v>39</v>
      </c>
      <c r="B14" s="7">
        <v>43276</v>
      </c>
    </row>
    <row r="15" spans="1:2" ht="15.5">
      <c r="A15" s="2"/>
      <c r="B15" s="5" t="s">
        <v>40</v>
      </c>
    </row>
    <row r="16" spans="1:2" ht="15.5">
      <c r="A16" s="2"/>
      <c r="B16" s="5" t="s">
        <v>41</v>
      </c>
    </row>
    <row r="17" spans="1:8" ht="15.5">
      <c r="A17" s="2"/>
      <c r="B17" s="5" t="s">
        <v>42</v>
      </c>
    </row>
    <row r="18" spans="1:8" ht="15.5">
      <c r="A18" s="2"/>
      <c r="B18" s="5" t="s">
        <v>43</v>
      </c>
    </row>
    <row r="20" spans="1:8" ht="31">
      <c r="A20" s="1" t="s">
        <v>46</v>
      </c>
      <c r="B20" s="5">
        <v>4147</v>
      </c>
    </row>
    <row r="22" spans="1:8" ht="15.5">
      <c r="A22" s="1" t="s">
        <v>47</v>
      </c>
      <c r="B22" s="5" t="s">
        <v>78</v>
      </c>
    </row>
    <row r="23" spans="1:8" ht="31">
      <c r="A23" s="1" t="s">
        <v>48</v>
      </c>
      <c r="B23" s="5" t="s">
        <v>49</v>
      </c>
    </row>
    <row r="25" spans="1:8" ht="31">
      <c r="A25" s="1" t="s">
        <v>50</v>
      </c>
      <c r="B25" s="5" t="s">
        <v>51</v>
      </c>
    </row>
    <row r="27" spans="1:8" ht="15.5">
      <c r="A27" s="1" t="s">
        <v>53</v>
      </c>
      <c r="B27" s="5" t="s">
        <v>211</v>
      </c>
    </row>
    <row r="29" spans="1:8" ht="31">
      <c r="A29" s="3" t="s">
        <v>55</v>
      </c>
      <c r="B29" s="4" t="s">
        <v>56</v>
      </c>
    </row>
    <row r="31" spans="1:8">
      <c r="A31" t="s">
        <v>90</v>
      </c>
      <c r="B31" t="s">
        <v>91</v>
      </c>
      <c r="H31">
        <v>55.9</v>
      </c>
    </row>
    <row r="32" spans="1:8">
      <c r="H32">
        <v>50</v>
      </c>
    </row>
    <row r="33" spans="1:8">
      <c r="H33">
        <v>65</v>
      </c>
    </row>
    <row r="35" spans="1:8" ht="31">
      <c r="A35" s="11" t="s">
        <v>267</v>
      </c>
      <c r="B35" t="s">
        <v>217</v>
      </c>
      <c r="C35" s="8"/>
    </row>
    <row r="36" spans="1:8" ht="15.5">
      <c r="A36" s="11" t="s">
        <v>180</v>
      </c>
      <c r="B36" s="8" t="s">
        <v>181</v>
      </c>
    </row>
    <row r="37" spans="1:8" ht="15.5">
      <c r="A37" s="11"/>
      <c r="B37" s="8"/>
    </row>
    <row r="38" spans="1:8" ht="31">
      <c r="A38" s="11" t="s">
        <v>270</v>
      </c>
      <c r="B38" s="8" t="s">
        <v>271</v>
      </c>
    </row>
    <row r="39" spans="1:8" ht="31">
      <c r="A39" s="11" t="s">
        <v>182</v>
      </c>
      <c r="B39" s="8" t="s">
        <v>271</v>
      </c>
    </row>
    <row r="40" spans="1:8" ht="15.5">
      <c r="A40" s="11"/>
      <c r="B40" s="8"/>
    </row>
    <row r="41" spans="1:8">
      <c r="A41" t="s">
        <v>92</v>
      </c>
      <c r="B41" t="s">
        <v>174</v>
      </c>
      <c r="C41" s="21">
        <v>45049</v>
      </c>
    </row>
    <row r="42" spans="1:8" ht="15.5">
      <c r="B42" s="5" t="s">
        <v>37</v>
      </c>
    </row>
    <row r="43" spans="1:8" ht="15.5">
      <c r="B43" s="5" t="s">
        <v>197</v>
      </c>
      <c r="C43">
        <v>86780</v>
      </c>
    </row>
    <row r="44" spans="1:8">
      <c r="A44" t="s">
        <v>93</v>
      </c>
    </row>
    <row r="45" spans="1:8">
      <c r="A45" t="s">
        <v>94</v>
      </c>
      <c r="B45" t="s">
        <v>95</v>
      </c>
    </row>
    <row r="46" spans="1:8">
      <c r="A46" t="s">
        <v>96</v>
      </c>
      <c r="B46" t="s">
        <v>98</v>
      </c>
    </row>
    <row r="47" spans="1:8">
      <c r="A47" t="s">
        <v>97</v>
      </c>
      <c r="B47">
        <v>3009</v>
      </c>
    </row>
    <row r="49" spans="1:3" ht="29">
      <c r="A49" s="19" t="s">
        <v>121</v>
      </c>
      <c r="B49" s="18" t="s">
        <v>122</v>
      </c>
    </row>
    <row r="51" spans="1:3">
      <c r="A51" t="s">
        <v>123</v>
      </c>
      <c r="B51">
        <v>1918200000105</v>
      </c>
      <c r="C51" t="s">
        <v>124</v>
      </c>
    </row>
    <row r="55" spans="1:3">
      <c r="B55">
        <f>428*12</f>
        <v>5136</v>
      </c>
    </row>
    <row r="56" spans="1:3">
      <c r="A56" t="s">
        <v>202</v>
      </c>
      <c r="B56" s="22">
        <v>3068097</v>
      </c>
    </row>
    <row r="57" spans="1:3">
      <c r="A57" t="s">
        <v>268</v>
      </c>
      <c r="B57">
        <v>1724962541</v>
      </c>
    </row>
    <row r="58" spans="1:3">
      <c r="A58" t="s">
        <v>269</v>
      </c>
      <c r="B58">
        <v>969477624</v>
      </c>
    </row>
    <row r="59" spans="1:3">
      <c r="A59" t="s">
        <v>272</v>
      </c>
      <c r="B59" s="9" t="s">
        <v>273</v>
      </c>
    </row>
  </sheetData>
  <hyperlinks>
    <hyperlink ref="A29" r:id="rId1" display="mailto:fi.studio.sources@gmail.com" xr:uid="{00000000-0004-0000-0200-000000000000}"/>
    <hyperlink ref="B59" r:id="rId2" xr:uid="{00000000-0004-0000-0200-000001000000}"/>
  </hyperlinks>
  <pageMargins left="0.7" right="0.7" top="0.75" bottom="0.75" header="0.3" footer="0.3"/>
  <pageSetup paperSize="9"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B10" sqref="B10"/>
    </sheetView>
  </sheetViews>
  <sheetFormatPr baseColWidth="10" defaultRowHeight="14.5"/>
  <cols>
    <col min="1" max="1" width="20.1796875" customWidth="1"/>
    <col min="2" max="2" width="42" customWidth="1"/>
  </cols>
  <sheetData>
    <row r="1" spans="1:2" ht="15.5">
      <c r="A1" s="2" t="s">
        <v>33</v>
      </c>
      <c r="B1" s="12" t="s">
        <v>34</v>
      </c>
    </row>
    <row r="2" spans="1:2" ht="15.5">
      <c r="A2" s="2"/>
      <c r="B2" s="5" t="s">
        <v>35</v>
      </c>
    </row>
    <row r="3" spans="1:2">
      <c r="B3" t="s">
        <v>265</v>
      </c>
    </row>
    <row r="4" spans="1:2" ht="15.5">
      <c r="A4" s="1" t="s">
        <v>44</v>
      </c>
      <c r="B4" s="5" t="s">
        <v>45</v>
      </c>
    </row>
    <row r="5" spans="1:2" ht="15.5">
      <c r="A5" s="1"/>
      <c r="B5" s="5"/>
    </row>
    <row r="6" spans="1:2" ht="15.5">
      <c r="A6" s="2" t="s">
        <v>52</v>
      </c>
      <c r="B6" s="4"/>
    </row>
    <row r="7" spans="1:2" ht="15.5">
      <c r="B7" s="5" t="s">
        <v>130</v>
      </c>
    </row>
    <row r="8" spans="1:2">
      <c r="A8" s="8" t="s">
        <v>129</v>
      </c>
      <c r="B8">
        <v>180119747</v>
      </c>
    </row>
  </sheetData>
  <hyperlinks>
    <hyperlink ref="B1" r:id="rId1" xr:uid="{00000000-0004-0000-0300-000000000000}"/>
  </hyperlinks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5"/>
  <sheetViews>
    <sheetView topLeftCell="A79" zoomScale="84" zoomScaleNormal="84" workbookViewId="0">
      <selection activeCell="A82" sqref="A82"/>
    </sheetView>
  </sheetViews>
  <sheetFormatPr baseColWidth="10" defaultRowHeight="14.5"/>
  <cols>
    <col min="1" max="1" width="33.54296875" customWidth="1"/>
  </cols>
  <sheetData>
    <row r="1" spans="1:2" ht="15.5">
      <c r="A1" t="s">
        <v>115</v>
      </c>
      <c r="B1" s="16" t="s">
        <v>116</v>
      </c>
    </row>
    <row r="3" spans="1:2">
      <c r="A3" s="9" t="s">
        <v>117</v>
      </c>
      <c r="B3" t="s">
        <v>118</v>
      </c>
    </row>
    <row r="4" spans="1:2">
      <c r="A4" t="s">
        <v>120</v>
      </c>
    </row>
    <row r="5" spans="1:2" ht="16.5">
      <c r="A5" t="s">
        <v>119</v>
      </c>
      <c r="B5" s="17">
        <v>74943398</v>
      </c>
    </row>
    <row r="81" spans="1:1">
      <c r="A81" s="8" t="s">
        <v>159</v>
      </c>
    </row>
    <row r="82" spans="1:1">
      <c r="A82" t="s">
        <v>168</v>
      </c>
    </row>
    <row r="83" spans="1:1">
      <c r="A83" t="s">
        <v>156</v>
      </c>
    </row>
    <row r="84" spans="1:1">
      <c r="A84" t="s">
        <v>157</v>
      </c>
    </row>
    <row r="85" spans="1:1">
      <c r="A85" t="s">
        <v>158</v>
      </c>
    </row>
    <row r="86" spans="1:1">
      <c r="A86" s="8" t="s">
        <v>160</v>
      </c>
    </row>
    <row r="87" spans="1:1">
      <c r="A87" t="s">
        <v>165</v>
      </c>
    </row>
    <row r="88" spans="1:1">
      <c r="A88" t="s">
        <v>166</v>
      </c>
    </row>
    <row r="89" spans="1:1">
      <c r="A89" t="s">
        <v>157</v>
      </c>
    </row>
    <row r="90" spans="1:1">
      <c r="A90" t="s">
        <v>161</v>
      </c>
    </row>
    <row r="92" spans="1:1">
      <c r="A92" s="8" t="s">
        <v>162</v>
      </c>
    </row>
    <row r="93" spans="1:1">
      <c r="A93" t="s">
        <v>167</v>
      </c>
    </row>
    <row r="94" spans="1:1">
      <c r="A94" t="s">
        <v>164</v>
      </c>
    </row>
    <row r="95" spans="1:1">
      <c r="A95" t="s">
        <v>163</v>
      </c>
    </row>
  </sheetData>
  <hyperlinks>
    <hyperlink ref="A3" r:id="rId1" xr:uid="{00000000-0004-0000-0400-000000000000}"/>
  </hyperlinks>
  <pageMargins left="0.7" right="0.7" top="0.75" bottom="0.75" header="0.3" footer="0.3"/>
  <pageSetup paperSize="9" orientation="portrait" horizontalDpi="0" verticalDpi="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6"/>
  <sheetViews>
    <sheetView topLeftCell="A12" workbookViewId="0">
      <selection activeCell="B29" sqref="B29"/>
    </sheetView>
  </sheetViews>
  <sheetFormatPr baseColWidth="10" defaultRowHeight="14.5"/>
  <cols>
    <col min="1" max="1" width="34.1796875" customWidth="1"/>
  </cols>
  <sheetData>
    <row r="1" spans="1:2" ht="15.5">
      <c r="A1" s="1" t="s">
        <v>23</v>
      </c>
      <c r="B1" s="4" t="s">
        <v>24</v>
      </c>
    </row>
    <row r="3" spans="1:2" ht="15.5">
      <c r="A3" s="1" t="s">
        <v>25</v>
      </c>
      <c r="B3" s="4" t="s">
        <v>26</v>
      </c>
    </row>
    <row r="5" spans="1:2" ht="15.5">
      <c r="A5" s="1" t="s">
        <v>28</v>
      </c>
      <c r="B5" s="4" t="s">
        <v>16</v>
      </c>
    </row>
    <row r="7" spans="1:2" ht="15.5">
      <c r="A7" s="2" t="s">
        <v>29</v>
      </c>
      <c r="B7" s="5" t="s">
        <v>30</v>
      </c>
    </row>
    <row r="9" spans="1:2" ht="15.5">
      <c r="A9" s="2" t="s">
        <v>69</v>
      </c>
      <c r="B9" s="4" t="s">
        <v>70</v>
      </c>
    </row>
    <row r="10" spans="1:2" ht="15.5">
      <c r="A10" s="2"/>
      <c r="B10" s="5" t="s">
        <v>16</v>
      </c>
    </row>
    <row r="11" spans="1:2" ht="15.5">
      <c r="A11" s="2"/>
      <c r="B11" s="6" t="s">
        <v>71</v>
      </c>
    </row>
    <row r="13" spans="1:2">
      <c r="A13" t="s">
        <v>99</v>
      </c>
      <c r="B13" t="s">
        <v>100</v>
      </c>
    </row>
    <row r="14" spans="1:2">
      <c r="B14" t="s">
        <v>101</v>
      </c>
    </row>
    <row r="16" spans="1:2">
      <c r="A16" t="s">
        <v>131</v>
      </c>
      <c r="B16" t="s">
        <v>107</v>
      </c>
    </row>
    <row r="17" spans="1:2">
      <c r="A17" t="s">
        <v>132</v>
      </c>
      <c r="B17" t="s">
        <v>133</v>
      </c>
    </row>
    <row r="19" spans="1:2">
      <c r="A19" t="s">
        <v>139</v>
      </c>
    </row>
    <row r="20" spans="1:2">
      <c r="A20" t="s">
        <v>140</v>
      </c>
      <c r="B20" t="s">
        <v>141</v>
      </c>
    </row>
    <row r="21" spans="1:2">
      <c r="A21" t="s">
        <v>142</v>
      </c>
      <c r="B21" t="s">
        <v>143</v>
      </c>
    </row>
    <row r="23" spans="1:2">
      <c r="A23" t="s">
        <v>185</v>
      </c>
      <c r="B23" s="9" t="s">
        <v>71</v>
      </c>
    </row>
    <row r="24" spans="1:2">
      <c r="B24" t="s">
        <v>186</v>
      </c>
    </row>
    <row r="26" spans="1:2">
      <c r="A26" t="s">
        <v>212</v>
      </c>
      <c r="B26" s="9" t="s">
        <v>213</v>
      </c>
    </row>
  </sheetData>
  <hyperlinks>
    <hyperlink ref="B11" r:id="rId1" display="mailto:ohmarfigueroa@hotmail.com" xr:uid="{00000000-0004-0000-0500-000000000000}"/>
    <hyperlink ref="B23" r:id="rId2" xr:uid="{00000000-0004-0000-0500-000001000000}"/>
    <hyperlink ref="B26" r:id="rId3" xr:uid="{00000000-0004-0000-0500-000002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>
      <selection activeCell="B1" sqref="A1:B1"/>
    </sheetView>
  </sheetViews>
  <sheetFormatPr baseColWidth="10" defaultRowHeight="14.5"/>
  <cols>
    <col min="1" max="1" width="23.26953125" customWidth="1"/>
    <col min="2" max="2" width="13" customWidth="1"/>
  </cols>
  <sheetData>
    <row r="1" spans="1:2">
      <c r="A1" t="s">
        <v>183</v>
      </c>
      <c r="B1" t="s">
        <v>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5"/>
  <sheetViews>
    <sheetView topLeftCell="A26" zoomScale="118" zoomScaleNormal="118" workbookViewId="0">
      <selection activeCell="C22" sqref="C22"/>
    </sheetView>
  </sheetViews>
  <sheetFormatPr baseColWidth="10" defaultRowHeight="14.5"/>
  <cols>
    <col min="1" max="1" width="19.1796875" customWidth="1"/>
    <col min="2" max="2" width="26.7265625" customWidth="1"/>
  </cols>
  <sheetData>
    <row r="1" spans="1:2" ht="15.5">
      <c r="A1" s="1" t="s">
        <v>11</v>
      </c>
      <c r="B1" s="5" t="s">
        <v>12</v>
      </c>
    </row>
    <row r="2" spans="1:2" ht="15.5">
      <c r="A2" s="2"/>
      <c r="B2" s="5" t="s">
        <v>13</v>
      </c>
    </row>
    <row r="4" spans="1:2" ht="15.5">
      <c r="A4" s="1" t="s">
        <v>14</v>
      </c>
      <c r="B4" s="4" t="s">
        <v>15</v>
      </c>
    </row>
    <row r="5" spans="1:2" ht="15.5">
      <c r="A5" s="2"/>
      <c r="B5" s="4" t="s">
        <v>16</v>
      </c>
    </row>
    <row r="6" spans="1:2">
      <c r="B6" t="s">
        <v>299</v>
      </c>
    </row>
    <row r="7" spans="1:2" ht="15.5">
      <c r="A7" s="2" t="s">
        <v>17</v>
      </c>
      <c r="B7" s="5" t="s">
        <v>16</v>
      </c>
    </row>
    <row r="9" spans="1:2" ht="15.5">
      <c r="A9" s="1" t="s">
        <v>86</v>
      </c>
      <c r="B9">
        <v>1111</v>
      </c>
    </row>
    <row r="11" spans="1:2" ht="15.5">
      <c r="A11" s="1" t="s">
        <v>87</v>
      </c>
      <c r="B11">
        <v>2000</v>
      </c>
    </row>
    <row r="14" spans="1:2" ht="15.5">
      <c r="A14" t="s">
        <v>125</v>
      </c>
      <c r="B14" s="15" t="s">
        <v>113</v>
      </c>
    </row>
    <row r="16" spans="1:2">
      <c r="A16" s="13" t="s">
        <v>114</v>
      </c>
      <c r="B16">
        <v>180201</v>
      </c>
    </row>
    <row r="17" spans="1:3">
      <c r="A17" s="14">
        <v>44824</v>
      </c>
    </row>
    <row r="18" spans="1:3">
      <c r="A18" t="s">
        <v>134</v>
      </c>
      <c r="B18">
        <v>300954</v>
      </c>
    </row>
    <row r="19" spans="1:3">
      <c r="A19" t="s">
        <v>135</v>
      </c>
      <c r="B19">
        <v>3009</v>
      </c>
    </row>
    <row r="20" spans="1:3">
      <c r="A20" t="s">
        <v>136</v>
      </c>
      <c r="B20">
        <v>4381085012590840</v>
      </c>
    </row>
    <row r="21" spans="1:3">
      <c r="A21" t="s">
        <v>196</v>
      </c>
      <c r="B21" t="s">
        <v>308</v>
      </c>
    </row>
    <row r="22" spans="1:3">
      <c r="A22" t="s">
        <v>137</v>
      </c>
      <c r="B22" t="s">
        <v>306</v>
      </c>
    </row>
    <row r="23" spans="1:3">
      <c r="A23" t="s">
        <v>138</v>
      </c>
      <c r="B23" t="s">
        <v>307</v>
      </c>
    </row>
    <row r="24" spans="1:3">
      <c r="A24" t="s">
        <v>155</v>
      </c>
      <c r="B24">
        <v>703527</v>
      </c>
    </row>
    <row r="25" spans="1:3">
      <c r="A25" t="s">
        <v>144</v>
      </c>
      <c r="B25">
        <v>2209337275</v>
      </c>
    </row>
    <row r="27" spans="1:3" ht="29">
      <c r="A27" s="19" t="s">
        <v>248</v>
      </c>
      <c r="B27" t="s">
        <v>247</v>
      </c>
    </row>
    <row r="28" spans="1:3">
      <c r="B28" t="s">
        <v>228</v>
      </c>
      <c r="C28" t="s">
        <v>229</v>
      </c>
    </row>
    <row r="29" spans="1:3">
      <c r="B29" t="s">
        <v>230</v>
      </c>
      <c r="C29" t="s">
        <v>231</v>
      </c>
    </row>
    <row r="30" spans="1:3">
      <c r="B30" t="s">
        <v>232</v>
      </c>
      <c r="C30" t="s">
        <v>233</v>
      </c>
    </row>
    <row r="31" spans="1:3">
      <c r="B31" t="s">
        <v>234</v>
      </c>
      <c r="C31" t="s">
        <v>235</v>
      </c>
    </row>
    <row r="32" spans="1:3">
      <c r="B32" t="s">
        <v>236</v>
      </c>
      <c r="C32" t="s">
        <v>237</v>
      </c>
    </row>
    <row r="33" spans="1:3">
      <c r="B33" t="s">
        <v>238</v>
      </c>
      <c r="C33" t="s">
        <v>239</v>
      </c>
    </row>
    <row r="34" spans="1:3">
      <c r="B34" t="s">
        <v>240</v>
      </c>
      <c r="C34" t="s">
        <v>241</v>
      </c>
    </row>
    <row r="35" spans="1:3">
      <c r="B35" t="s">
        <v>242</v>
      </c>
      <c r="C35">
        <v>42</v>
      </c>
    </row>
    <row r="36" spans="1:3">
      <c r="B36" t="s">
        <v>243</v>
      </c>
      <c r="C36" t="s">
        <v>244</v>
      </c>
    </row>
    <row r="37" spans="1:3">
      <c r="B37" s="23" t="s">
        <v>245</v>
      </c>
      <c r="C37" t="s">
        <v>246</v>
      </c>
    </row>
    <row r="39" spans="1:3">
      <c r="A39" t="s">
        <v>203</v>
      </c>
    </row>
    <row r="40" spans="1:3">
      <c r="B40" t="s">
        <v>204</v>
      </c>
    </row>
    <row r="41" spans="1:3">
      <c r="B41" t="s">
        <v>205</v>
      </c>
    </row>
    <row r="42" spans="1:3">
      <c r="B42" t="s">
        <v>206</v>
      </c>
    </row>
    <row r="43" spans="1:3">
      <c r="A43" t="s">
        <v>221</v>
      </c>
      <c r="B43" t="s">
        <v>256</v>
      </c>
    </row>
    <row r="44" spans="1:3">
      <c r="B44" t="s">
        <v>223</v>
      </c>
    </row>
    <row r="46" spans="1:3">
      <c r="A46" t="s">
        <v>257</v>
      </c>
    </row>
    <row r="47" spans="1:3">
      <c r="A47" t="s">
        <v>249</v>
      </c>
      <c r="B47">
        <v>1068893566</v>
      </c>
      <c r="C47" t="s">
        <v>262</v>
      </c>
    </row>
    <row r="48" spans="1:3">
      <c r="A48" t="s">
        <v>250</v>
      </c>
      <c r="B48" t="s">
        <v>251</v>
      </c>
      <c r="C48" t="s">
        <v>263</v>
      </c>
    </row>
    <row r="49" spans="1:2">
      <c r="A49" t="s">
        <v>138</v>
      </c>
      <c r="B49" t="s">
        <v>303</v>
      </c>
    </row>
    <row r="50" spans="1:2">
      <c r="A50" t="s">
        <v>252</v>
      </c>
      <c r="B50" t="s">
        <v>253</v>
      </c>
    </row>
    <row r="51" spans="1:2">
      <c r="A51" t="s">
        <v>254</v>
      </c>
      <c r="B51" t="s">
        <v>255</v>
      </c>
    </row>
    <row r="65" spans="1:2">
      <c r="A65" t="s">
        <v>264</v>
      </c>
      <c r="B65">
        <v>617075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CLAVES</vt:lpstr>
      <vt:lpstr>IIAD</vt:lpstr>
      <vt:lpstr>TRAB</vt:lpstr>
      <vt:lpstr>AMO</vt:lpstr>
      <vt:lpstr>VIAJ</vt:lpstr>
      <vt:lpstr>ART</vt:lpstr>
      <vt:lpstr>SDN</vt:lpstr>
      <vt:lpstr>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OMAR SANTIAGO FIGUEROA DIAZ</cp:lastModifiedBy>
  <dcterms:created xsi:type="dcterms:W3CDTF">2021-12-31T17:16:26Z</dcterms:created>
  <dcterms:modified xsi:type="dcterms:W3CDTF">2026-02-23T03:35:46Z</dcterms:modified>
</cp:coreProperties>
</file>